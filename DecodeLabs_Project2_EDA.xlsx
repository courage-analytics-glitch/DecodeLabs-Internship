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8D49BB8-8EEB-44B3-8A3D-EC7E0E636065}" xr6:coauthVersionLast="47" xr6:coauthVersionMax="47" xr10:uidLastSave="{00000000-0000-0000-0000-000000000000}"/>
  <bookViews>
    <workbookView xWindow="-110" yWindow="-110" windowWidth="19420" windowHeight="10300" tabRatio="500" firstSheet="2" activeTab="2" xr2:uid="{00000000-000D-0000-FFFF-FFFF00000000}"/>
  </bookViews>
  <sheets>
    <sheet name="Dataset Overview" sheetId="1" r:id="rId1"/>
    <sheet name="Descriptive Statistics" sheetId="2" r:id="rId2"/>
    <sheet name="Categorical Analysis" sheetId="3" r:id="rId3"/>
    <sheet name="Outlier Analysis" sheetId="4" r:id="rId4"/>
    <sheet name="Key Finding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" i="4" l="1"/>
  <c r="E8" i="4"/>
  <c r="D8" i="4"/>
  <c r="F7" i="4"/>
  <c r="E7" i="4"/>
  <c r="D7" i="4"/>
  <c r="F6" i="4"/>
  <c r="E6" i="4"/>
  <c r="D6" i="4"/>
  <c r="F5" i="4"/>
  <c r="E5" i="4"/>
  <c r="D5" i="4"/>
  <c r="C26" i="3"/>
  <c r="C25" i="3"/>
  <c r="C24" i="3"/>
  <c r="C23" i="3"/>
  <c r="G19" i="3"/>
  <c r="G18" i="3"/>
  <c r="G17" i="3"/>
  <c r="G16" i="3"/>
  <c r="G15" i="3"/>
  <c r="C19" i="3"/>
  <c r="C18" i="3"/>
  <c r="C17" i="3"/>
  <c r="C16" i="3"/>
  <c r="C15" i="3"/>
  <c r="C9" i="3"/>
  <c r="C8" i="3"/>
  <c r="C7" i="3"/>
  <c r="C6" i="3"/>
  <c r="C5" i="3"/>
</calcChain>
</file>

<file path=xl/sharedStrings.xml><?xml version="1.0" encoding="utf-8"?>
<sst xmlns="http://schemas.openxmlformats.org/spreadsheetml/2006/main" count="183" uniqueCount="144">
  <si>
    <t>Total Records</t>
  </si>
  <si>
    <t>Total Columns</t>
  </si>
  <si>
    <t>Missing Values</t>
  </si>
  <si>
    <t>Column Name</t>
  </si>
  <si>
    <t>Data Type</t>
  </si>
  <si>
    <t>Null Count</t>
  </si>
  <si>
    <t>Description</t>
  </si>
  <si>
    <t>OrderID</t>
  </si>
  <si>
    <t>Text</t>
  </si>
  <si>
    <t>Date</t>
  </si>
  <si>
    <t>CustomerID</t>
  </si>
  <si>
    <t>Product</t>
  </si>
  <si>
    <t>Quantity</t>
  </si>
  <si>
    <t>Integer</t>
  </si>
  <si>
    <t>UnitPrice</t>
  </si>
  <si>
    <t>Decimal</t>
  </si>
  <si>
    <t>Price per unit in USD</t>
  </si>
  <si>
    <t>ShippingAddress</t>
  </si>
  <si>
    <t>Delivery address</t>
  </si>
  <si>
    <t>PaymentMethod</t>
  </si>
  <si>
    <t>OrderStatus</t>
  </si>
  <si>
    <t>TrackingNumber</t>
  </si>
  <si>
    <t>Shipment tracking ID</t>
  </si>
  <si>
    <t>ItemsInCart</t>
  </si>
  <si>
    <t>Total items in customer cart</t>
  </si>
  <si>
    <t>CouponCode</t>
  </si>
  <si>
    <t>ReferralSource</t>
  </si>
  <si>
    <t>Marketing channel</t>
  </si>
  <si>
    <t>TotalPrice</t>
  </si>
  <si>
    <t>Final order value in USD</t>
  </si>
  <si>
    <t>Statistic</t>
  </si>
  <si>
    <t>Count</t>
  </si>
  <si>
    <t>Mean</t>
  </si>
  <si>
    <t>Median</t>
  </si>
  <si>
    <t>IQR</t>
  </si>
  <si>
    <t>ORDER STATUS</t>
  </si>
  <si>
    <t>Status</t>
  </si>
  <si>
    <t>Printer</t>
  </si>
  <si>
    <t>Cancelled</t>
  </si>
  <si>
    <t>Tablet</t>
  </si>
  <si>
    <t>Returned</t>
  </si>
  <si>
    <t>Chair</t>
  </si>
  <si>
    <t>Pending</t>
  </si>
  <si>
    <t>Laptop</t>
  </si>
  <si>
    <t>Shipped</t>
  </si>
  <si>
    <t>Desk</t>
  </si>
  <si>
    <t>Delivered</t>
  </si>
  <si>
    <t>Monitor</t>
  </si>
  <si>
    <t>Phone</t>
  </si>
  <si>
    <t>PAYMENT METHOD</t>
  </si>
  <si>
    <t>REFERRAL SOURCE</t>
  </si>
  <si>
    <t>Method</t>
  </si>
  <si>
    <t>Source</t>
  </si>
  <si>
    <t>Online</t>
  </si>
  <si>
    <t>Instagram</t>
  </si>
  <si>
    <t>Cash</t>
  </si>
  <si>
    <t>Email</t>
  </si>
  <si>
    <t>Credit Card</t>
  </si>
  <si>
    <t>Google</t>
  </si>
  <si>
    <t>Debit Card</t>
  </si>
  <si>
    <t>Facebook</t>
  </si>
  <si>
    <t>Gift Card</t>
  </si>
  <si>
    <t>Referral</t>
  </si>
  <si>
    <t>Business Diagnosis</t>
  </si>
  <si>
    <t>DECODELABS PROJECT 2 - EXPLORATORY DATA ANALYSIS</t>
  </si>
  <si>
    <t>Unique Values</t>
  </si>
  <si>
    <t>String</t>
  </si>
  <si>
    <t>Primary Key</t>
  </si>
  <si>
    <t>800+</t>
  </si>
  <si>
    <t>Transaction Date</t>
  </si>
  <si>
    <t>1000+</t>
  </si>
  <si>
    <t>Customer Identifier</t>
  </si>
  <si>
    <t>Categorical</t>
  </si>
  <si>
    <t>Product category 7 types</t>
  </si>
  <si>
    <t>Units ordered 1 to 5</t>
  </si>
  <si>
    <t>1170+</t>
  </si>
  <si>
    <t>Payment type 5 methods</t>
  </si>
  <si>
    <t>Current order status 5 types</t>
  </si>
  <si>
    <t>Discount coupon applied nullable</t>
  </si>
  <si>
    <t>1190+</t>
  </si>
  <si>
    <t>DESCRIPTIVE STATISTICS - NUMERICAL COLUMNS</t>
  </si>
  <si>
    <t>Minimum</t>
  </si>
  <si>
    <t>Maximum</t>
  </si>
  <si>
    <t>Std Deviation</t>
  </si>
  <si>
    <t>Q1 25th Percentile</t>
  </si>
  <si>
    <t>Q3 75th Percentile</t>
  </si>
  <si>
    <t>Skewness</t>
  </si>
  <si>
    <t>IQR Outliers</t>
  </si>
  <si>
    <t>CATEGORICAL ANALYSIS - FREQUENCY AND REVENUE DISTRIBUTION</t>
  </si>
  <si>
    <t>Percentage</t>
  </si>
  <si>
    <t>PRODUCT CATEGORY</t>
  </si>
  <si>
    <t>Avg Revenue</t>
  </si>
  <si>
    <t>COUPON CODE USAGE</t>
  </si>
  <si>
    <t>Code</t>
  </si>
  <si>
    <t>FREESHIP</t>
  </si>
  <si>
    <t>WINTER15</t>
  </si>
  <si>
    <t>SAVE10</t>
  </si>
  <si>
    <t>No Coupon</t>
  </si>
  <si>
    <t>OUTLIER ANALYSIS - IQR METHOD</t>
  </si>
  <si>
    <t>Formula: Outlier is less than Q1 minus 1.5 times IQR OR greater than Q3 plus 1.5 times IQR</t>
  </si>
  <si>
    <t>Variable</t>
  </si>
  <si>
    <t>Q1</t>
  </si>
  <si>
    <t>Q3</t>
  </si>
  <si>
    <t>Lower Bound</t>
  </si>
  <si>
    <t>Upper Bound</t>
  </si>
  <si>
    <t>OUTLIER SUMMARY</t>
  </si>
  <si>
    <t>Outliers Found</t>
  </si>
  <si>
    <t>Min Outlier Value</t>
  </si>
  <si>
    <t>Max Outlier Value</t>
  </si>
  <si>
    <t>Action</t>
  </si>
  <si>
    <t>Business Signal</t>
  </si>
  <si>
    <t>RETAIN and Investigate</t>
  </si>
  <si>
    <t>High value VIP orders flag for loyalty programme</t>
  </si>
  <si>
    <t>NA</t>
  </si>
  <si>
    <t>No action needed</t>
  </si>
  <si>
    <t>Prices within expected product range</t>
  </si>
  <si>
    <t>All quantities between 1 and 5 units</t>
  </si>
  <si>
    <t>Cart sizes within 1 to 10 item range</t>
  </si>
  <si>
    <t>KEY FINDINGS AND BUSINESS DIAGNOSIS</t>
  </si>
  <si>
    <t>EDA Summary - 8 Actionable Insights - Richard Courage Cobbinah - DecodeLabs Batch 2026</t>
  </si>
  <si>
    <t>Number</t>
  </si>
  <si>
    <t>What The Data Says</t>
  </si>
  <si>
    <t>41.4% of all orders are Cancelled 20.8% or Returned 20.6%. Only 19.3% are Delivered.</t>
  </si>
  <si>
    <t>Critical revenue leak. 1 in 2 orders fails to complete. Investigate root causes of cancellation before scaling marketing spend.</t>
  </si>
  <si>
    <t>Instagram is the top referral source with 259 orders at 21.6% ahead of Email 250 Google 241 Facebook 228 and Referral 222.</t>
  </si>
  <si>
    <t>Protect this lead. Prioritise Instagram budget and content consistency to maintain acquisition advantage.</t>
  </si>
  <si>
    <t>TotalPrice is right-skewed with skewness of 0.891. The mean of 1054 dollars exceeds the median of 824 dollars by 28 percent.</t>
  </si>
  <si>
    <t>Use median as the revenue benchmark. The mean is distorted by high value outliers.</t>
  </si>
  <si>
    <t>8 orders exceed the IQR upper bound of 3330 dollars. All are legitimate high value transactions.</t>
  </si>
  <si>
    <t>Flag these 8 customers for VIP loyalty programme. High value retention costs less than new customer acquisition.</t>
  </si>
  <si>
    <t>Quantity has a strong positive correlation with TotalPrice at r equals 0.62. Higher quantity orders drive more revenue.</t>
  </si>
  <si>
    <t>Introduce bundle promotions and volume discounts. Higher quantity orders directly grow revenue per transaction.</t>
  </si>
  <si>
    <t>309 orders which is 25.75 percent have no coupon code applied. Only 74.25 percent of customers used a discount code.</t>
  </si>
  <si>
    <t>Review coupon visibility at checkout. A/B test promotional placements to increase adoption toward 90 percent.</t>
  </si>
  <si>
    <t>Laptop at 1111 dollars and Chair at 1099 dollars generate the highest average revenue per order. Phone has the lowest at 973 dollars.</t>
  </si>
  <si>
    <t>Focus upsell and cross-sell strategy on Laptop and Chair product lines for maximum revenue impact.</t>
  </si>
  <si>
    <t>All five payment channels are near equally distributed between 19 and 21 percent each.</t>
  </si>
  <si>
    <t>Maintain all five channels. Monitor checkout drop-off rates per payment method to identify friction points.</t>
  </si>
  <si>
    <t>DATASET SUMMARY</t>
  </si>
  <si>
    <t>309 in CouponCode only</t>
  </si>
  <si>
    <t>Analyst</t>
  </si>
  <si>
    <t>Richard Courage Cobbinah</t>
  </si>
  <si>
    <t>Programme</t>
  </si>
  <si>
    <t>DecodeLabs Industrial Training Batch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</si>
</sst>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.00"/>
    <numFmt numFmtId="166" formatCode="0.000"/>
  </numFmts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  <charset val="1"/>
    </font>
    <font>
      <sz val="10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ck">
        <color rgb="FF1F38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ck">
        <color rgb="FF1F3864"/>
      </top>
      <bottom style="thick">
        <color rgb="FF1F3864"/>
      </bottom>
      <diagonal/>
    </border>
    <border>
      <left/>
      <right/>
      <top style="thick">
        <color rgb="FF1F3864"/>
      </top>
      <bottom style="thick">
        <color rgb="FF1F38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3" fillId="3" borderId="0" xfId="0" applyFont="1" applyFill="1"/>
    <xf numFmtId="0" fontId="4" fillId="4" borderId="0" xfId="0" applyFont="1" applyFill="1"/>
    <xf numFmtId="0" fontId="3" fillId="4" borderId="0" xfId="0" applyFont="1" applyFill="1"/>
    <xf numFmtId="0" fontId="5" fillId="0" borderId="0" xfId="0" applyFont="1"/>
    <xf numFmtId="0" fontId="3" fillId="5" borderId="0" xfId="0" applyFont="1" applyFill="1"/>
    <xf numFmtId="0" fontId="3" fillId="6" borderId="0" xfId="0" applyFont="1" applyFill="1"/>
    <xf numFmtId="0" fontId="3" fillId="6" borderId="1" xfId="0" applyFont="1" applyFill="1" applyBorder="1"/>
    <xf numFmtId="3" fontId="3" fillId="6" borderId="1" xfId="0" applyNumberFormat="1" applyFont="1" applyFill="1" applyBorder="1"/>
    <xf numFmtId="164" fontId="3" fillId="6" borderId="1" xfId="0" applyNumberFormat="1" applyFont="1" applyFill="1" applyBorder="1"/>
    <xf numFmtId="0" fontId="3" fillId="3" borderId="1" xfId="0" applyFont="1" applyFill="1" applyBorder="1"/>
    <xf numFmtId="3" fontId="3" fillId="3" borderId="1" xfId="0" applyNumberFormat="1" applyFont="1" applyFill="1" applyBorder="1"/>
    <xf numFmtId="165" fontId="3" fillId="3" borderId="1" xfId="0" applyNumberFormat="1" applyFont="1" applyFill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165" fontId="3" fillId="4" borderId="1" xfId="0" applyNumberFormat="1" applyFont="1" applyFill="1" applyBorder="1"/>
    <xf numFmtId="164" fontId="3" fillId="3" borderId="1" xfId="0" applyNumberFormat="1" applyFont="1" applyFill="1" applyBorder="1"/>
    <xf numFmtId="164" fontId="3" fillId="4" borderId="1" xfId="0" applyNumberFormat="1" applyFont="1" applyFill="1" applyBorder="1"/>
    <xf numFmtId="0" fontId="3" fillId="8" borderId="1" xfId="0" applyFont="1" applyFill="1" applyBorder="1"/>
    <xf numFmtId="3" fontId="3" fillId="8" borderId="1" xfId="0" applyNumberFormat="1" applyFont="1" applyFill="1" applyBorder="1"/>
    <xf numFmtId="164" fontId="3" fillId="8" borderId="1" xfId="0" applyNumberFormat="1" applyFont="1" applyFill="1" applyBorder="1"/>
    <xf numFmtId="2" fontId="3" fillId="3" borderId="1" xfId="0" applyNumberFormat="1" applyFont="1" applyFill="1" applyBorder="1"/>
    <xf numFmtId="2" fontId="3" fillId="4" borderId="1" xfId="0" applyNumberFormat="1" applyFont="1" applyFill="1" applyBorder="1"/>
    <xf numFmtId="0" fontId="3" fillId="0" borderId="1" xfId="0" applyFont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5" xfId="0" applyFont="1" applyFill="1" applyBorder="1" applyAlignment="1">
      <alignment horizontal="center"/>
    </xf>
    <xf numFmtId="0" fontId="3" fillId="6" borderId="3" xfId="0" applyFont="1" applyFill="1" applyBorder="1"/>
    <xf numFmtId="3" fontId="3" fillId="6" borderId="3" xfId="0" applyNumberFormat="1" applyFont="1" applyFill="1" applyBorder="1"/>
    <xf numFmtId="164" fontId="3" fillId="6" borderId="3" xfId="0" applyNumberFormat="1" applyFont="1" applyFill="1" applyBorder="1"/>
    <xf numFmtId="0" fontId="4" fillId="7" borderId="6" xfId="0" applyFont="1" applyFill="1" applyBorder="1"/>
    <xf numFmtId="0" fontId="3" fillId="3" borderId="3" xfId="0" applyFont="1" applyFill="1" applyBorder="1"/>
    <xf numFmtId="3" fontId="3" fillId="3" borderId="3" xfId="0" applyNumberFormat="1" applyFont="1" applyFill="1" applyBorder="1"/>
    <xf numFmtId="165" fontId="3" fillId="3" borderId="3" xfId="0" applyNumberFormat="1" applyFont="1" applyFill="1" applyBorder="1"/>
    <xf numFmtId="0" fontId="3" fillId="5" borderId="3" xfId="0" applyFont="1" applyFill="1" applyBorder="1"/>
    <xf numFmtId="3" fontId="3" fillId="5" borderId="3" xfId="0" applyNumberFormat="1" applyFont="1" applyFill="1" applyBorder="1"/>
    <xf numFmtId="164" fontId="3" fillId="5" borderId="3" xfId="0" applyNumberFormat="1" applyFont="1" applyFill="1" applyBorder="1"/>
    <xf numFmtId="164" fontId="3" fillId="3" borderId="3" xfId="0" applyNumberFormat="1" applyFont="1" applyFill="1" applyBorder="1"/>
    <xf numFmtId="0" fontId="1" fillId="2" borderId="0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2" fontId="3" fillId="3" borderId="3" xfId="0" applyNumberFormat="1" applyFont="1" applyFill="1" applyBorder="1"/>
    <xf numFmtId="0" fontId="2" fillId="2" borderId="4" xfId="0" applyFont="1" applyFill="1" applyBorder="1"/>
    <xf numFmtId="0" fontId="2" fillId="2" borderId="5" xfId="0" applyFont="1" applyFill="1" applyBorder="1" applyAlignment="1">
      <alignment horizontal="center" vertical="center"/>
    </xf>
    <xf numFmtId="2" fontId="3" fillId="6" borderId="3" xfId="0" applyNumberFormat="1" applyFont="1" applyFill="1" applyBorder="1"/>
    <xf numFmtId="0" fontId="2" fillId="2" borderId="6" xfId="0" applyFont="1" applyFill="1" applyBorder="1"/>
    <xf numFmtId="0" fontId="3" fillId="0" borderId="3" xfId="0" applyFont="1" applyBorder="1" applyAlignment="1">
      <alignment horizontal="center" vertical="center" wrapText="1"/>
    </xf>
    <xf numFmtId="0" fontId="3" fillId="10" borderId="3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166" fontId="3" fillId="4" borderId="0" xfId="0" applyNumberFormat="1" applyFont="1" applyFill="1"/>
    <xf numFmtId="166" fontId="0" fillId="0" borderId="0" xfId="0" applyNumberFormat="1"/>
    <xf numFmtId="166" fontId="1" fillId="2" borderId="2" xfId="0" applyNumberFormat="1" applyFont="1" applyFill="1" applyBorder="1" applyAlignment="1">
      <alignment horizontal="center" vertical="center"/>
    </xf>
    <xf numFmtId="166" fontId="3" fillId="0" borderId="0" xfId="0" applyNumberFormat="1" applyFont="1"/>
    <xf numFmtId="166" fontId="2" fillId="2" borderId="2" xfId="0" applyNumberFormat="1" applyFont="1" applyFill="1" applyBorder="1"/>
    <xf numFmtId="166" fontId="3" fillId="3" borderId="0" xfId="0" applyNumberFormat="1" applyFont="1" applyFill="1"/>
    <xf numFmtId="166" fontId="3" fillId="5" borderId="0" xfId="0" applyNumberFormat="1" applyFont="1" applyFill="1"/>
    <xf numFmtId="1" fontId="3" fillId="3" borderId="0" xfId="0" applyNumberFormat="1" applyFont="1" applyFill="1"/>
    <xf numFmtId="1" fontId="3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555555"/>
      <rgbColor rgb="FF969696"/>
      <rgbColor rgb="FF1A5276"/>
      <rgbColor rgb="FF1E8449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971815-EF3A-405F-936E-476CFBB3BD8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e0e211a-20cd-4d9d-9647-43f38cfd368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zoomScaleNormal="100" workbookViewId="0">
      <pane ySplit="1" topLeftCell="A2" activePane="bottomLeft" state="frozen"/>
      <selection pane="bottomLeft" activeCell="E5" sqref="E5"/>
    </sheetView>
  </sheetViews>
  <sheetFormatPr defaultColWidth="8.6328125" defaultRowHeight="14.5" x14ac:dyDescent="0.35"/>
  <cols>
    <col min="1" max="1" width="15.08984375" bestFit="1" customWidth="1"/>
    <col min="2" max="2" width="10" bestFit="1" customWidth="1"/>
    <col min="3" max="3" width="9.6328125" bestFit="1" customWidth="1"/>
    <col min="4" max="4" width="12.90625" bestFit="1" customWidth="1"/>
    <col min="5" max="5" width="28.90625" bestFit="1" customWidth="1"/>
  </cols>
  <sheetData>
    <row r="1" spans="1:5" s="7" customFormat="1" ht="30" customHeight="1" thickBot="1" x14ac:dyDescent="0.5">
      <c r="A1" s="29" t="s">
        <v>64</v>
      </c>
      <c r="B1" s="29"/>
      <c r="C1" s="29"/>
      <c r="D1" s="29"/>
      <c r="E1" s="29"/>
    </row>
    <row r="2" spans="1:5" ht="18" customHeight="1" thickTop="1" x14ac:dyDescent="0.35">
      <c r="A2" s="1"/>
      <c r="B2" s="1"/>
      <c r="C2" s="1"/>
      <c r="D2" s="1"/>
      <c r="E2" s="1"/>
    </row>
    <row r="3" spans="1:5" ht="18" customHeight="1" thickBot="1" x14ac:dyDescent="0.4">
      <c r="A3" s="30" t="s">
        <v>138</v>
      </c>
      <c r="B3" s="30"/>
      <c r="C3" s="30"/>
      <c r="D3" s="30"/>
      <c r="E3" s="30"/>
    </row>
    <row r="4" spans="1:5" ht="18" customHeight="1" thickTop="1" x14ac:dyDescent="0.35">
      <c r="A4" s="2" t="s">
        <v>0</v>
      </c>
      <c r="B4" s="1">
        <v>1200</v>
      </c>
      <c r="C4" s="1"/>
      <c r="D4" s="1"/>
      <c r="E4" s="1"/>
    </row>
    <row r="5" spans="1:5" ht="18" customHeight="1" x14ac:dyDescent="0.35">
      <c r="A5" s="2" t="s">
        <v>1</v>
      </c>
      <c r="B5" s="1">
        <v>14</v>
      </c>
      <c r="C5" s="1"/>
      <c r="D5" s="1"/>
      <c r="E5" s="1"/>
    </row>
    <row r="6" spans="1:5" ht="18" customHeight="1" x14ac:dyDescent="0.35">
      <c r="A6" s="2" t="s">
        <v>2</v>
      </c>
      <c r="B6" s="1" t="s">
        <v>139</v>
      </c>
      <c r="C6" s="1"/>
      <c r="D6" s="1"/>
      <c r="E6" s="1"/>
    </row>
    <row r="7" spans="1:5" ht="18" customHeight="1" x14ac:dyDescent="0.35">
      <c r="A7" s="2" t="s">
        <v>140</v>
      </c>
      <c r="B7" s="1" t="s">
        <v>141</v>
      </c>
      <c r="C7" s="1"/>
      <c r="D7" s="1"/>
      <c r="E7" s="1"/>
    </row>
    <row r="8" spans="1:5" ht="18" customHeight="1" x14ac:dyDescent="0.35">
      <c r="A8" s="2" t="s">
        <v>142</v>
      </c>
      <c r="B8" s="1" t="s">
        <v>143</v>
      </c>
      <c r="C8" s="1"/>
      <c r="D8" s="1"/>
      <c r="E8" s="1"/>
    </row>
    <row r="9" spans="1:5" ht="11.5" customHeight="1" x14ac:dyDescent="0.35">
      <c r="A9" s="1"/>
      <c r="B9" s="1"/>
      <c r="C9" s="1"/>
      <c r="D9" s="1"/>
      <c r="E9" s="1"/>
    </row>
    <row r="10" spans="1:5" ht="19" customHeight="1" thickBot="1" x14ac:dyDescent="0.4">
      <c r="A10" s="31" t="s">
        <v>3</v>
      </c>
      <c r="B10" s="31" t="s">
        <v>4</v>
      </c>
      <c r="C10" s="31" t="s">
        <v>5</v>
      </c>
      <c r="D10" s="31" t="s">
        <v>65</v>
      </c>
      <c r="E10" s="31" t="s">
        <v>6</v>
      </c>
    </row>
    <row r="11" spans="1:5" ht="19.5" customHeight="1" thickTop="1" x14ac:dyDescent="0.35">
      <c r="A11" s="3" t="s">
        <v>7</v>
      </c>
      <c r="B11" s="4" t="s">
        <v>66</v>
      </c>
      <c r="C11" s="4">
        <v>0</v>
      </c>
      <c r="D11" s="4">
        <v>1200</v>
      </c>
      <c r="E11" s="4" t="s">
        <v>67</v>
      </c>
    </row>
    <row r="12" spans="1:5" x14ac:dyDescent="0.35">
      <c r="A12" s="5" t="s">
        <v>9</v>
      </c>
      <c r="B12" s="6" t="s">
        <v>9</v>
      </c>
      <c r="C12" s="6">
        <v>0</v>
      </c>
      <c r="D12" s="6" t="s">
        <v>68</v>
      </c>
      <c r="E12" s="6" t="s">
        <v>69</v>
      </c>
    </row>
    <row r="13" spans="1:5" x14ac:dyDescent="0.35">
      <c r="A13" s="3" t="s">
        <v>10</v>
      </c>
      <c r="B13" s="4" t="s">
        <v>66</v>
      </c>
      <c r="C13" s="4">
        <v>0</v>
      </c>
      <c r="D13" s="4" t="s">
        <v>70</v>
      </c>
      <c r="E13" s="4" t="s">
        <v>71</v>
      </c>
    </row>
    <row r="14" spans="1:5" x14ac:dyDescent="0.35">
      <c r="A14" s="5" t="s">
        <v>11</v>
      </c>
      <c r="B14" s="6" t="s">
        <v>72</v>
      </c>
      <c r="C14" s="6">
        <v>0</v>
      </c>
      <c r="D14" s="6">
        <v>7</v>
      </c>
      <c r="E14" s="6" t="s">
        <v>73</v>
      </c>
    </row>
    <row r="15" spans="1:5" x14ac:dyDescent="0.35">
      <c r="A15" s="3" t="s">
        <v>12</v>
      </c>
      <c r="B15" s="4" t="s">
        <v>13</v>
      </c>
      <c r="C15" s="4">
        <v>0</v>
      </c>
      <c r="D15" s="4">
        <v>5</v>
      </c>
      <c r="E15" s="4" t="s">
        <v>74</v>
      </c>
    </row>
    <row r="16" spans="1:5" x14ac:dyDescent="0.35">
      <c r="A16" s="5" t="s">
        <v>14</v>
      </c>
      <c r="B16" s="6" t="s">
        <v>15</v>
      </c>
      <c r="C16" s="6">
        <v>0</v>
      </c>
      <c r="D16" s="6" t="s">
        <v>75</v>
      </c>
      <c r="E16" s="6" t="s">
        <v>16</v>
      </c>
    </row>
    <row r="17" spans="1:5" x14ac:dyDescent="0.35">
      <c r="A17" s="3" t="s">
        <v>17</v>
      </c>
      <c r="B17" s="4" t="s">
        <v>66</v>
      </c>
      <c r="C17" s="4">
        <v>0</v>
      </c>
      <c r="D17" s="4">
        <v>1200</v>
      </c>
      <c r="E17" s="4" t="s">
        <v>18</v>
      </c>
    </row>
    <row r="18" spans="1:5" x14ac:dyDescent="0.35">
      <c r="A18" s="5" t="s">
        <v>19</v>
      </c>
      <c r="B18" s="6" t="s">
        <v>72</v>
      </c>
      <c r="C18" s="6">
        <v>0</v>
      </c>
      <c r="D18" s="6">
        <v>5</v>
      </c>
      <c r="E18" s="6" t="s">
        <v>76</v>
      </c>
    </row>
    <row r="19" spans="1:5" x14ac:dyDescent="0.35">
      <c r="A19" s="3" t="s">
        <v>20</v>
      </c>
      <c r="B19" s="4" t="s">
        <v>72</v>
      </c>
      <c r="C19" s="4">
        <v>0</v>
      </c>
      <c r="D19" s="4">
        <v>5</v>
      </c>
      <c r="E19" s="4" t="s">
        <v>77</v>
      </c>
    </row>
    <row r="20" spans="1:5" ht="9.75" customHeight="1" x14ac:dyDescent="0.35">
      <c r="A20" s="5" t="s">
        <v>21</v>
      </c>
      <c r="B20" s="6" t="s">
        <v>66</v>
      </c>
      <c r="C20" s="6">
        <v>0</v>
      </c>
      <c r="D20" s="6">
        <v>1200</v>
      </c>
      <c r="E20" s="6" t="s">
        <v>22</v>
      </c>
    </row>
    <row r="21" spans="1:5" ht="19.5" customHeight="1" x14ac:dyDescent="0.35">
      <c r="A21" s="3" t="s">
        <v>23</v>
      </c>
      <c r="B21" s="4" t="s">
        <v>13</v>
      </c>
      <c r="C21" s="4">
        <v>0</v>
      </c>
      <c r="D21" s="4">
        <v>10</v>
      </c>
      <c r="E21" s="4" t="s">
        <v>24</v>
      </c>
    </row>
    <row r="22" spans="1:5" x14ac:dyDescent="0.35">
      <c r="A22" s="5" t="s">
        <v>25</v>
      </c>
      <c r="B22" s="6" t="s">
        <v>8</v>
      </c>
      <c r="C22" s="6">
        <v>309</v>
      </c>
      <c r="D22" s="6">
        <v>3</v>
      </c>
      <c r="E22" s="6" t="s">
        <v>78</v>
      </c>
    </row>
    <row r="23" spans="1:5" x14ac:dyDescent="0.35">
      <c r="A23" s="3" t="s">
        <v>26</v>
      </c>
      <c r="B23" s="4" t="s">
        <v>8</v>
      </c>
      <c r="C23" s="4">
        <v>0</v>
      </c>
      <c r="D23" s="4">
        <v>5</v>
      </c>
      <c r="E23" s="4" t="s">
        <v>27</v>
      </c>
    </row>
    <row r="24" spans="1:5" x14ac:dyDescent="0.35">
      <c r="A24" s="5" t="s">
        <v>28</v>
      </c>
      <c r="B24" s="6" t="s">
        <v>15</v>
      </c>
      <c r="C24" s="6">
        <v>0</v>
      </c>
      <c r="D24" s="6" t="s">
        <v>79</v>
      </c>
      <c r="E24" s="6" t="s">
        <v>29</v>
      </c>
    </row>
  </sheetData>
  <mergeCells count="2">
    <mergeCell ref="A1:E1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zoomScaleNormal="100" workbookViewId="0">
      <pane ySplit="1" topLeftCell="A2" activePane="bottomLeft" state="frozen"/>
      <selection pane="bottomLeft" activeCell="E14" activeCellId="3" sqref="B14 C14 D14 E14"/>
    </sheetView>
  </sheetViews>
  <sheetFormatPr defaultColWidth="8.6328125" defaultRowHeight="14.5" x14ac:dyDescent="0.35"/>
  <cols>
    <col min="1" max="1" width="16.08984375" bestFit="1" customWidth="1"/>
    <col min="2" max="2" width="8.36328125" style="57" bestFit="1" customWidth="1"/>
    <col min="3" max="3" width="8.6328125" style="57" bestFit="1" customWidth="1"/>
    <col min="4" max="4" width="10.6328125" style="57" bestFit="1" customWidth="1"/>
    <col min="5" max="5" width="9.54296875" style="57" bestFit="1" customWidth="1"/>
  </cols>
  <sheetData>
    <row r="1" spans="1:10" s="7" customFormat="1" ht="30" customHeight="1" thickBot="1" x14ac:dyDescent="0.5">
      <c r="A1" s="29" t="s">
        <v>80</v>
      </c>
      <c r="B1" s="58"/>
      <c r="C1" s="58"/>
      <c r="D1" s="58"/>
      <c r="E1" s="58"/>
      <c r="F1" s="29"/>
    </row>
    <row r="2" spans="1:10" ht="15" thickTop="1" x14ac:dyDescent="0.35">
      <c r="A2" s="1"/>
      <c r="B2" s="59"/>
      <c r="C2" s="59"/>
      <c r="D2" s="59"/>
      <c r="E2" s="59"/>
      <c r="F2" s="1"/>
    </row>
    <row r="3" spans="1:10" ht="19.5" customHeight="1" thickBot="1" x14ac:dyDescent="0.4">
      <c r="A3" s="31" t="s">
        <v>30</v>
      </c>
      <c r="B3" s="60" t="s">
        <v>12</v>
      </c>
      <c r="C3" s="60" t="s">
        <v>14</v>
      </c>
      <c r="D3" s="60" t="s">
        <v>23</v>
      </c>
      <c r="E3" s="60" t="s">
        <v>28</v>
      </c>
      <c r="F3" s="1"/>
      <c r="J3" s="57"/>
    </row>
    <row r="4" spans="1:10" ht="15" thickTop="1" x14ac:dyDescent="0.35">
      <c r="A4" s="4" t="s">
        <v>31</v>
      </c>
      <c r="B4" s="63">
        <v>1200</v>
      </c>
      <c r="C4" s="63">
        <v>1200</v>
      </c>
      <c r="D4" s="63">
        <v>1200</v>
      </c>
      <c r="E4" s="63">
        <v>1200</v>
      </c>
      <c r="F4" s="1"/>
    </row>
    <row r="5" spans="1:10" x14ac:dyDescent="0.35">
      <c r="A5" s="6" t="s">
        <v>81</v>
      </c>
      <c r="B5" s="56">
        <v>1</v>
      </c>
      <c r="C5" s="56">
        <v>11.39</v>
      </c>
      <c r="D5" s="56">
        <v>1</v>
      </c>
      <c r="E5" s="56">
        <v>11.39</v>
      </c>
      <c r="F5" s="1"/>
    </row>
    <row r="6" spans="1:10" x14ac:dyDescent="0.35">
      <c r="A6" s="4" t="s">
        <v>82</v>
      </c>
      <c r="B6" s="61">
        <v>5</v>
      </c>
      <c r="C6" s="61">
        <v>699.93</v>
      </c>
      <c r="D6" s="61">
        <v>10</v>
      </c>
      <c r="E6" s="61">
        <v>3456.4</v>
      </c>
      <c r="F6" s="1"/>
    </row>
    <row r="7" spans="1:10" x14ac:dyDescent="0.35">
      <c r="A7" s="8" t="s">
        <v>32</v>
      </c>
      <c r="B7" s="62">
        <v>2.95</v>
      </c>
      <c r="C7" s="62">
        <v>356.41</v>
      </c>
      <c r="D7" s="62">
        <v>5.49</v>
      </c>
      <c r="E7" s="62">
        <v>1053.97</v>
      </c>
      <c r="F7" s="1"/>
    </row>
    <row r="8" spans="1:10" x14ac:dyDescent="0.35">
      <c r="A8" s="8" t="s">
        <v>33</v>
      </c>
      <c r="B8" s="62">
        <v>3</v>
      </c>
      <c r="C8" s="62">
        <v>364.21</v>
      </c>
      <c r="D8" s="62">
        <v>5</v>
      </c>
      <c r="E8" s="62">
        <v>823.62</v>
      </c>
      <c r="F8" s="1"/>
    </row>
    <row r="9" spans="1:10" x14ac:dyDescent="0.35">
      <c r="A9" s="6" t="s">
        <v>83</v>
      </c>
      <c r="B9" s="56">
        <v>1.41</v>
      </c>
      <c r="C9" s="56">
        <v>197.18</v>
      </c>
      <c r="D9" s="56">
        <v>2.2799999999999998</v>
      </c>
      <c r="E9" s="56">
        <v>819.86</v>
      </c>
      <c r="F9" s="1"/>
    </row>
    <row r="10" spans="1:10" x14ac:dyDescent="0.35">
      <c r="A10" s="4" t="s">
        <v>84</v>
      </c>
      <c r="B10" s="61">
        <v>2</v>
      </c>
      <c r="C10" s="61">
        <v>186.06</v>
      </c>
      <c r="D10" s="61">
        <v>4</v>
      </c>
      <c r="E10" s="61">
        <v>410.52</v>
      </c>
      <c r="F10" s="1"/>
    </row>
    <row r="11" spans="1:10" x14ac:dyDescent="0.35">
      <c r="A11" s="6" t="s">
        <v>85</v>
      </c>
      <c r="B11" s="56">
        <v>4</v>
      </c>
      <c r="C11" s="56">
        <v>521.57000000000005</v>
      </c>
      <c r="D11" s="56">
        <v>7</v>
      </c>
      <c r="E11" s="56">
        <v>1578.48</v>
      </c>
      <c r="F11" s="1"/>
    </row>
    <row r="12" spans="1:10" x14ac:dyDescent="0.35">
      <c r="A12" s="4" t="s">
        <v>34</v>
      </c>
      <c r="B12" s="61">
        <v>2</v>
      </c>
      <c r="C12" s="61">
        <v>335.51</v>
      </c>
      <c r="D12" s="61">
        <v>3</v>
      </c>
      <c r="E12" s="61">
        <v>1167.96</v>
      </c>
      <c r="F12" s="1"/>
    </row>
    <row r="13" spans="1:10" x14ac:dyDescent="0.35">
      <c r="A13" s="6" t="s">
        <v>86</v>
      </c>
      <c r="B13" s="56">
        <v>8.9999999999999993E-3</v>
      </c>
      <c r="C13" s="56">
        <v>-2.7E-2</v>
      </c>
      <c r="D13" s="56">
        <v>6.0000000000000001E-3</v>
      </c>
      <c r="E13" s="56">
        <v>0.89100000000000001</v>
      </c>
      <c r="F13" s="1"/>
    </row>
    <row r="14" spans="1:10" x14ac:dyDescent="0.35">
      <c r="A14" s="9" t="s">
        <v>87</v>
      </c>
      <c r="B14" s="64">
        <v>0</v>
      </c>
      <c r="C14" s="64">
        <v>0</v>
      </c>
      <c r="D14" s="64">
        <v>0</v>
      </c>
      <c r="E14" s="64">
        <v>8</v>
      </c>
      <c r="F14" s="1"/>
    </row>
    <row r="15" spans="1:10" ht="9.75" customHeight="1" x14ac:dyDescent="0.35"/>
    <row r="16" spans="1:10" ht="19.5" customHeight="1" x14ac:dyDescent="0.35"/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tabSelected="1" zoomScaleNormal="100" workbookViewId="0">
      <pane ySplit="1" topLeftCell="A4" activePane="bottomLeft" state="frozen"/>
      <selection pane="bottomLeft" activeCell="C26" activeCellId="18" sqref="C5 C6 C7 C8 C9 C15 C16 C17 C18 C19 G15 G16 G17 G18 G19 C23 C24 C25 C26"/>
    </sheetView>
  </sheetViews>
  <sheetFormatPr defaultColWidth="8.6328125" defaultRowHeight="14.5" x14ac:dyDescent="0.35"/>
  <cols>
    <col min="1" max="1" width="10.1796875" bestFit="1" customWidth="1"/>
    <col min="2" max="2" width="5.90625" bestFit="1" customWidth="1"/>
    <col min="3" max="3" width="10.1796875" bestFit="1" customWidth="1"/>
    <col min="4" max="4" width="20" customWidth="1"/>
    <col min="5" max="5" width="10.1796875" bestFit="1" customWidth="1"/>
    <col min="6" max="6" width="5.90625" bestFit="1" customWidth="1"/>
    <col min="7" max="7" width="11.453125" bestFit="1" customWidth="1"/>
    <col min="8" max="8" width="20" customWidth="1"/>
  </cols>
  <sheetData>
    <row r="1" spans="1:9" s="7" customFormat="1" ht="30" customHeight="1" thickBot="1" x14ac:dyDescent="0.5">
      <c r="A1" s="29" t="s">
        <v>88</v>
      </c>
      <c r="B1" s="29"/>
      <c r="C1" s="29"/>
      <c r="D1" s="29"/>
      <c r="E1" s="29"/>
      <c r="F1" s="29"/>
      <c r="G1" s="29"/>
      <c r="H1" s="29"/>
      <c r="I1" s="29"/>
    </row>
    <row r="2" spans="1:9" ht="15" thickTop="1" x14ac:dyDescent="0.35">
      <c r="A2" s="1"/>
      <c r="B2" s="1"/>
      <c r="C2" s="1"/>
      <c r="D2" s="1"/>
      <c r="E2" s="1"/>
      <c r="F2" s="1"/>
      <c r="G2" s="1"/>
      <c r="H2" s="1"/>
      <c r="I2" s="1"/>
    </row>
    <row r="3" spans="1:9" ht="15" thickBot="1" x14ac:dyDescent="0.4">
      <c r="A3" s="32" t="s">
        <v>35</v>
      </c>
      <c r="B3" s="32"/>
      <c r="C3" s="32"/>
      <c r="D3" s="1"/>
      <c r="E3" s="32" t="s">
        <v>90</v>
      </c>
      <c r="F3" s="32"/>
      <c r="G3" s="32"/>
      <c r="H3" s="1"/>
      <c r="I3" s="1"/>
    </row>
    <row r="4" spans="1:9" ht="15.5" thickTop="1" thickBot="1" x14ac:dyDescent="0.4">
      <c r="A4" s="36" t="s">
        <v>36</v>
      </c>
      <c r="B4" s="36" t="s">
        <v>31</v>
      </c>
      <c r="C4" s="36" t="s">
        <v>89</v>
      </c>
      <c r="D4" s="1"/>
      <c r="E4" s="36" t="s">
        <v>11</v>
      </c>
      <c r="F4" s="36" t="s">
        <v>31</v>
      </c>
      <c r="G4" s="36" t="s">
        <v>91</v>
      </c>
      <c r="H4" s="1"/>
      <c r="I4" s="1"/>
    </row>
    <row r="5" spans="1:9" ht="15" thickTop="1" x14ac:dyDescent="0.35">
      <c r="A5" s="33" t="s">
        <v>38</v>
      </c>
      <c r="B5" s="34">
        <v>250</v>
      </c>
      <c r="C5" s="35">
        <f>B5/SUM($B$5:$B$9)</f>
        <v>0.20833333333333334</v>
      </c>
      <c r="D5" s="1"/>
      <c r="E5" s="37" t="s">
        <v>37</v>
      </c>
      <c r="F5" s="38">
        <v>181</v>
      </c>
      <c r="G5" s="39">
        <v>1080.73</v>
      </c>
      <c r="H5" s="1"/>
      <c r="I5" s="1"/>
    </row>
    <row r="6" spans="1:9" x14ac:dyDescent="0.35">
      <c r="A6" s="10" t="s">
        <v>40</v>
      </c>
      <c r="B6" s="11">
        <v>247</v>
      </c>
      <c r="C6" s="12">
        <f>B6/SUM($B$5:$B$9)</f>
        <v>0.20583333333333334</v>
      </c>
      <c r="D6" s="1"/>
      <c r="E6" s="16" t="s">
        <v>39</v>
      </c>
      <c r="F6" s="17">
        <v>179</v>
      </c>
      <c r="G6" s="18">
        <v>1042.28</v>
      </c>
      <c r="H6" s="1"/>
      <c r="I6" s="1"/>
    </row>
    <row r="7" spans="1:9" x14ac:dyDescent="0.35">
      <c r="A7" s="13" t="s">
        <v>42</v>
      </c>
      <c r="B7" s="14">
        <v>237</v>
      </c>
      <c r="C7" s="19">
        <f>B7/SUM($B$5:$B$9)</f>
        <v>0.19750000000000001</v>
      </c>
      <c r="D7" s="1"/>
      <c r="E7" s="13" t="s">
        <v>41</v>
      </c>
      <c r="F7" s="14">
        <v>178</v>
      </c>
      <c r="G7" s="15">
        <v>1098.99</v>
      </c>
      <c r="H7" s="1"/>
      <c r="I7" s="1"/>
    </row>
    <row r="8" spans="1:9" x14ac:dyDescent="0.35">
      <c r="A8" s="16" t="s">
        <v>44</v>
      </c>
      <c r="B8" s="17">
        <v>235</v>
      </c>
      <c r="C8" s="20">
        <f>B8/SUM($B$5:$B$9)</f>
        <v>0.19583333333333333</v>
      </c>
      <c r="D8" s="1"/>
      <c r="E8" s="16" t="s">
        <v>43</v>
      </c>
      <c r="F8" s="17">
        <v>173</v>
      </c>
      <c r="G8" s="18">
        <v>1110.56</v>
      </c>
      <c r="H8" s="1"/>
      <c r="I8" s="1"/>
    </row>
    <row r="9" spans="1:9" x14ac:dyDescent="0.35">
      <c r="A9" s="13" t="s">
        <v>46</v>
      </c>
      <c r="B9" s="14">
        <v>231</v>
      </c>
      <c r="C9" s="19">
        <f>B9/SUM($B$5:$B$9)</f>
        <v>0.1925</v>
      </c>
      <c r="D9" s="1"/>
      <c r="E9" s="13" t="s">
        <v>45</v>
      </c>
      <c r="F9" s="14">
        <v>170</v>
      </c>
      <c r="G9" s="15">
        <v>985.06</v>
      </c>
      <c r="H9" s="1"/>
      <c r="I9" s="1"/>
    </row>
    <row r="10" spans="1:9" x14ac:dyDescent="0.35">
      <c r="A10" s="1"/>
      <c r="B10" s="1"/>
      <c r="C10" s="1"/>
      <c r="D10" s="1"/>
      <c r="E10" s="16" t="s">
        <v>47</v>
      </c>
      <c r="F10" s="17">
        <v>163</v>
      </c>
      <c r="G10" s="18">
        <v>1077.6199999999999</v>
      </c>
      <c r="H10" s="1"/>
      <c r="I10" s="1"/>
    </row>
    <row r="11" spans="1:9" x14ac:dyDescent="0.35">
      <c r="A11" s="1"/>
      <c r="B11" s="1"/>
      <c r="C11" s="1"/>
      <c r="D11" s="1"/>
      <c r="E11" s="13" t="s">
        <v>48</v>
      </c>
      <c r="F11" s="14">
        <v>156</v>
      </c>
      <c r="G11" s="15">
        <v>972.58</v>
      </c>
      <c r="H11" s="1"/>
      <c r="I11" s="1"/>
    </row>
    <row r="12" spans="1:9" x14ac:dyDescent="0.35">
      <c r="A12" s="1"/>
      <c r="B12" s="1"/>
      <c r="C12" s="1"/>
      <c r="D12" s="1"/>
      <c r="E12" s="1"/>
      <c r="F12" s="1"/>
      <c r="G12" s="1"/>
      <c r="H12" s="1"/>
      <c r="I12" s="1"/>
    </row>
    <row r="13" spans="1:9" ht="15" thickBot="1" x14ac:dyDescent="0.4">
      <c r="A13" s="32" t="s">
        <v>50</v>
      </c>
      <c r="B13" s="32"/>
      <c r="C13" s="32"/>
      <c r="D13" s="1"/>
      <c r="E13" s="32" t="s">
        <v>49</v>
      </c>
      <c r="F13" s="32"/>
      <c r="G13" s="32"/>
      <c r="H13" s="1"/>
      <c r="I13" s="1"/>
    </row>
    <row r="14" spans="1:9" ht="15.5" thickTop="1" thickBot="1" x14ac:dyDescent="0.4">
      <c r="A14" s="36" t="s">
        <v>52</v>
      </c>
      <c r="B14" s="36" t="s">
        <v>31</v>
      </c>
      <c r="C14" s="36" t="s">
        <v>89</v>
      </c>
      <c r="D14" s="1"/>
      <c r="E14" s="36" t="s">
        <v>51</v>
      </c>
      <c r="F14" s="36" t="s">
        <v>31</v>
      </c>
      <c r="G14" s="36" t="s">
        <v>89</v>
      </c>
      <c r="H14" s="1"/>
      <c r="I14" s="1"/>
    </row>
    <row r="15" spans="1:9" ht="15" thickTop="1" x14ac:dyDescent="0.35">
      <c r="A15" s="40" t="s">
        <v>54</v>
      </c>
      <c r="B15" s="41">
        <v>259</v>
      </c>
      <c r="C15" s="42">
        <f>B15/SUM($B$15:$B$19)</f>
        <v>0.21583333333333332</v>
      </c>
      <c r="D15" s="1"/>
      <c r="E15" s="37" t="s">
        <v>53</v>
      </c>
      <c r="F15" s="38">
        <v>258</v>
      </c>
      <c r="G15" s="43">
        <f>F15/SUM($F$15:$F$19)</f>
        <v>0.215</v>
      </c>
      <c r="H15" s="1"/>
      <c r="I15" s="1"/>
    </row>
    <row r="16" spans="1:9" x14ac:dyDescent="0.35">
      <c r="A16" s="16" t="s">
        <v>56</v>
      </c>
      <c r="B16" s="17">
        <v>250</v>
      </c>
      <c r="C16" s="20">
        <f>B16/SUM($B$15:$B$19)</f>
        <v>0.20833333333333334</v>
      </c>
      <c r="D16" s="1"/>
      <c r="E16" s="16" t="s">
        <v>55</v>
      </c>
      <c r="F16" s="17">
        <v>246</v>
      </c>
      <c r="G16" s="20">
        <f>F16/SUM($F$15:$F$19)</f>
        <v>0.20499999999999999</v>
      </c>
      <c r="H16" s="1"/>
      <c r="I16" s="1"/>
    </row>
    <row r="17" spans="1:9" x14ac:dyDescent="0.35">
      <c r="A17" s="13" t="s">
        <v>58</v>
      </c>
      <c r="B17" s="14">
        <v>241</v>
      </c>
      <c r="C17" s="19">
        <f>B17/SUM($B$15:$B$19)</f>
        <v>0.20083333333333334</v>
      </c>
      <c r="D17" s="1"/>
      <c r="E17" s="13" t="s">
        <v>57</v>
      </c>
      <c r="F17" s="14">
        <v>234</v>
      </c>
      <c r="G17" s="19">
        <f>F17/SUM($F$15:$F$19)</f>
        <v>0.19500000000000001</v>
      </c>
      <c r="H17" s="1"/>
      <c r="I17" s="1"/>
    </row>
    <row r="18" spans="1:9" x14ac:dyDescent="0.35">
      <c r="A18" s="16" t="s">
        <v>60</v>
      </c>
      <c r="B18" s="17">
        <v>228</v>
      </c>
      <c r="C18" s="20">
        <f>B18/SUM($B$15:$B$19)</f>
        <v>0.19</v>
      </c>
      <c r="D18" s="1"/>
      <c r="E18" s="16" t="s">
        <v>59</v>
      </c>
      <c r="F18" s="17">
        <v>232</v>
      </c>
      <c r="G18" s="20">
        <f>F18/SUM($F$15:$F$19)</f>
        <v>0.19333333333333333</v>
      </c>
      <c r="H18" s="1"/>
      <c r="I18" s="1"/>
    </row>
    <row r="19" spans="1:9" x14ac:dyDescent="0.35">
      <c r="A19" s="13" t="s">
        <v>62</v>
      </c>
      <c r="B19" s="14">
        <v>222</v>
      </c>
      <c r="C19" s="19">
        <f>B19/SUM($B$15:$B$19)</f>
        <v>0.185</v>
      </c>
      <c r="D19" s="1"/>
      <c r="E19" s="13" t="s">
        <v>61</v>
      </c>
      <c r="F19" s="14">
        <v>230</v>
      </c>
      <c r="G19" s="19">
        <f>F19/SUM($F$15:$F$19)</f>
        <v>0.19166666666666668</v>
      </c>
      <c r="H19" s="1"/>
      <c r="I19" s="1"/>
    </row>
    <row r="20" spans="1:9" x14ac:dyDescent="0.35">
      <c r="A20" s="1"/>
      <c r="B20" s="1"/>
      <c r="C20" s="1"/>
      <c r="D20" s="1"/>
      <c r="E20" s="1"/>
      <c r="F20" s="1"/>
      <c r="G20" s="1"/>
      <c r="H20" s="1"/>
      <c r="I20" s="1"/>
    </row>
    <row r="21" spans="1:9" ht="15" thickBot="1" x14ac:dyDescent="0.4">
      <c r="A21" s="32" t="s">
        <v>92</v>
      </c>
      <c r="B21" s="32"/>
      <c r="C21" s="32"/>
      <c r="D21" s="1"/>
      <c r="E21" s="1"/>
      <c r="F21" s="1"/>
      <c r="G21" s="1"/>
      <c r="H21" s="1"/>
      <c r="I21" s="1"/>
    </row>
    <row r="22" spans="1:9" ht="15.5" thickTop="1" thickBot="1" x14ac:dyDescent="0.4">
      <c r="A22" s="36" t="s">
        <v>93</v>
      </c>
      <c r="B22" s="36" t="s">
        <v>31</v>
      </c>
      <c r="C22" s="36" t="s">
        <v>89</v>
      </c>
      <c r="D22" s="1"/>
      <c r="E22" s="1"/>
      <c r="F22" s="1"/>
      <c r="G22" s="1"/>
      <c r="H22" s="1"/>
      <c r="I22" s="1"/>
    </row>
    <row r="23" spans="1:9" ht="15" thickTop="1" x14ac:dyDescent="0.35">
      <c r="A23" s="37" t="s">
        <v>94</v>
      </c>
      <c r="B23" s="38">
        <v>313</v>
      </c>
      <c r="C23" s="43">
        <f>B23/SUM($B$23:$B$26)</f>
        <v>0.26083333333333331</v>
      </c>
      <c r="D23" s="1"/>
      <c r="E23" s="1"/>
      <c r="F23" s="1"/>
      <c r="G23" s="1"/>
      <c r="H23" s="1"/>
      <c r="I23" s="1"/>
    </row>
    <row r="24" spans="1:9" x14ac:dyDescent="0.35">
      <c r="A24" s="16" t="s">
        <v>95</v>
      </c>
      <c r="B24" s="17">
        <v>292</v>
      </c>
      <c r="C24" s="20">
        <f>B24/SUM($B$23:$B$26)</f>
        <v>0.24333333333333335</v>
      </c>
      <c r="D24" s="1"/>
      <c r="E24" s="1"/>
      <c r="F24" s="1"/>
      <c r="G24" s="1"/>
      <c r="H24" s="1"/>
      <c r="I24" s="1"/>
    </row>
    <row r="25" spans="1:9" x14ac:dyDescent="0.35">
      <c r="A25" s="13" t="s">
        <v>96</v>
      </c>
      <c r="B25" s="14">
        <v>286</v>
      </c>
      <c r="C25" s="19">
        <f>B25/SUM($B$23:$B$26)</f>
        <v>0.23833333333333334</v>
      </c>
      <c r="D25" s="1"/>
      <c r="E25" s="1"/>
      <c r="F25" s="1"/>
      <c r="G25" s="1"/>
      <c r="H25" s="1"/>
      <c r="I25" s="1"/>
    </row>
    <row r="26" spans="1:9" x14ac:dyDescent="0.35">
      <c r="A26" s="21" t="s">
        <v>97</v>
      </c>
      <c r="B26" s="22">
        <v>309</v>
      </c>
      <c r="C26" s="23">
        <f>B26/SUM($B$23:$B$26)</f>
        <v>0.25750000000000001</v>
      </c>
      <c r="D26" s="1"/>
      <c r="E26" s="1"/>
      <c r="F26" s="1"/>
      <c r="G26" s="1"/>
      <c r="H26" s="1"/>
      <c r="I26" s="1"/>
    </row>
  </sheetData>
  <mergeCells count="6">
    <mergeCell ref="A21:C21"/>
    <mergeCell ref="A1:I1"/>
    <mergeCell ref="A3:C3"/>
    <mergeCell ref="E3:G3"/>
    <mergeCell ref="A13:C13"/>
    <mergeCell ref="E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zoomScaleNormal="100" workbookViewId="0">
      <pane ySplit="1" topLeftCell="A4" activePane="bottomLeft" state="frozen"/>
      <selection pane="bottomLeft" sqref="A1:I1"/>
    </sheetView>
  </sheetViews>
  <sheetFormatPr defaultColWidth="8.6328125" defaultRowHeight="14.5" x14ac:dyDescent="0.35"/>
  <cols>
    <col min="1" max="1" width="10.54296875" bestFit="1" customWidth="1"/>
    <col min="2" max="2" width="13.26953125" bestFit="1" customWidth="1"/>
    <col min="3" max="3" width="15.6328125" bestFit="1" customWidth="1"/>
    <col min="4" max="4" width="16" bestFit="1" customWidth="1"/>
    <col min="5" max="5" width="20.1796875" bestFit="1" customWidth="1"/>
    <col min="6" max="6" width="41.7265625" bestFit="1" customWidth="1"/>
  </cols>
  <sheetData>
    <row r="1" spans="1:6" s="7" customFormat="1" ht="30" customHeight="1" thickBot="1" x14ac:dyDescent="0.5">
      <c r="A1" s="44" t="s">
        <v>98</v>
      </c>
      <c r="B1" s="44"/>
      <c r="C1" s="44"/>
      <c r="D1" s="44"/>
      <c r="E1" s="44"/>
      <c r="F1" s="44"/>
    </row>
    <row r="2" spans="1:6" ht="15.5" thickTop="1" thickBot="1" x14ac:dyDescent="0.4">
      <c r="A2" s="45" t="s">
        <v>99</v>
      </c>
      <c r="B2" s="45"/>
      <c r="C2" s="45"/>
      <c r="D2" s="45"/>
      <c r="E2" s="45"/>
      <c r="F2" s="45"/>
    </row>
    <row r="3" spans="1:6" ht="15" thickTop="1" x14ac:dyDescent="0.35">
      <c r="A3" s="1"/>
      <c r="B3" s="1"/>
      <c r="C3" s="1"/>
      <c r="D3" s="1"/>
      <c r="E3" s="1"/>
      <c r="F3" s="1"/>
    </row>
    <row r="4" spans="1:6" ht="15" thickBot="1" x14ac:dyDescent="0.4">
      <c r="A4" s="47" t="s">
        <v>100</v>
      </c>
      <c r="B4" s="47" t="s">
        <v>101</v>
      </c>
      <c r="C4" s="47" t="s">
        <v>102</v>
      </c>
      <c r="D4" s="47" t="s">
        <v>34</v>
      </c>
      <c r="E4" s="47" t="s">
        <v>103</v>
      </c>
      <c r="F4" s="47" t="s">
        <v>104</v>
      </c>
    </row>
    <row r="5" spans="1:6" ht="15" thickTop="1" x14ac:dyDescent="0.35">
      <c r="A5" s="37" t="s">
        <v>28</v>
      </c>
      <c r="B5" s="46">
        <v>410.52</v>
      </c>
      <c r="C5" s="46">
        <v>1578.48</v>
      </c>
      <c r="D5" s="46">
        <f>C5-B5</f>
        <v>1167.96</v>
      </c>
      <c r="E5" s="46">
        <f>B5-1.5*D5</f>
        <v>-1341.42</v>
      </c>
      <c r="F5" s="46">
        <f>C5+1.5*D5</f>
        <v>3330.42</v>
      </c>
    </row>
    <row r="6" spans="1:6" x14ac:dyDescent="0.35">
      <c r="A6" s="16" t="s">
        <v>14</v>
      </c>
      <c r="B6" s="25">
        <v>186.06</v>
      </c>
      <c r="C6" s="25">
        <v>521.57000000000005</v>
      </c>
      <c r="D6" s="25">
        <f>C6-B6</f>
        <v>335.51000000000005</v>
      </c>
      <c r="E6" s="25">
        <f>B6-1.5*D6</f>
        <v>-317.2050000000001</v>
      </c>
      <c r="F6" s="25">
        <f>C6+1.5*D6</f>
        <v>1024.835</v>
      </c>
    </row>
    <row r="7" spans="1:6" x14ac:dyDescent="0.35">
      <c r="A7" s="13" t="s">
        <v>12</v>
      </c>
      <c r="B7" s="24">
        <v>2</v>
      </c>
      <c r="C7" s="24">
        <v>4</v>
      </c>
      <c r="D7" s="24">
        <f>C7-B7</f>
        <v>2</v>
      </c>
      <c r="E7" s="24">
        <f>B7-1.5*D7</f>
        <v>-1</v>
      </c>
      <c r="F7" s="24">
        <f>C7+1.5*D7</f>
        <v>7</v>
      </c>
    </row>
    <row r="8" spans="1:6" x14ac:dyDescent="0.35">
      <c r="A8" s="16" t="s">
        <v>23</v>
      </c>
      <c r="B8" s="25">
        <v>4</v>
      </c>
      <c r="C8" s="25">
        <v>7</v>
      </c>
      <c r="D8" s="25">
        <f>C8-B8</f>
        <v>3</v>
      </c>
      <c r="E8" s="25">
        <f>B8-1.5*D8</f>
        <v>-0.5</v>
      </c>
      <c r="F8" s="25">
        <f>C8+1.5*D8</f>
        <v>11.5</v>
      </c>
    </row>
    <row r="9" spans="1:6" x14ac:dyDescent="0.35">
      <c r="A9" s="1"/>
      <c r="B9" s="1"/>
      <c r="C9" s="1"/>
      <c r="D9" s="1"/>
      <c r="E9" s="1"/>
      <c r="F9" s="1"/>
    </row>
    <row r="10" spans="1:6" ht="15" thickBot="1" x14ac:dyDescent="0.4">
      <c r="A10" s="48" t="s">
        <v>105</v>
      </c>
      <c r="B10" s="48"/>
      <c r="C10" s="48"/>
      <c r="D10" s="48"/>
      <c r="E10" s="48"/>
      <c r="F10" s="48"/>
    </row>
    <row r="11" spans="1:6" ht="15.5" thickTop="1" thickBot="1" x14ac:dyDescent="0.4">
      <c r="A11" s="50" t="s">
        <v>100</v>
      </c>
      <c r="B11" s="50" t="s">
        <v>106</v>
      </c>
      <c r="C11" s="50" t="s">
        <v>107</v>
      </c>
      <c r="D11" s="50" t="s">
        <v>108</v>
      </c>
      <c r="E11" s="50" t="s">
        <v>109</v>
      </c>
      <c r="F11" s="50" t="s">
        <v>110</v>
      </c>
    </row>
    <row r="12" spans="1:6" ht="15" thickTop="1" x14ac:dyDescent="0.35">
      <c r="A12" s="33" t="s">
        <v>28</v>
      </c>
      <c r="B12" s="34">
        <v>8</v>
      </c>
      <c r="C12" s="49">
        <v>3334</v>
      </c>
      <c r="D12" s="49">
        <v>3456.4</v>
      </c>
      <c r="E12" s="33" t="s">
        <v>111</v>
      </c>
      <c r="F12" s="33" t="s">
        <v>112</v>
      </c>
    </row>
    <row r="13" spans="1:6" x14ac:dyDescent="0.35">
      <c r="A13" s="16" t="s">
        <v>14</v>
      </c>
      <c r="B13" s="17">
        <v>0</v>
      </c>
      <c r="C13" s="16" t="s">
        <v>113</v>
      </c>
      <c r="D13" s="16" t="s">
        <v>113</v>
      </c>
      <c r="E13" s="16" t="s">
        <v>114</v>
      </c>
      <c r="F13" s="16" t="s">
        <v>115</v>
      </c>
    </row>
    <row r="14" spans="1:6" x14ac:dyDescent="0.35">
      <c r="A14" s="13" t="s">
        <v>12</v>
      </c>
      <c r="B14" s="14">
        <v>0</v>
      </c>
      <c r="C14" s="13" t="s">
        <v>113</v>
      </c>
      <c r="D14" s="13" t="s">
        <v>113</v>
      </c>
      <c r="E14" s="13" t="s">
        <v>114</v>
      </c>
      <c r="F14" s="13" t="s">
        <v>116</v>
      </c>
    </row>
    <row r="15" spans="1:6" x14ac:dyDescent="0.35">
      <c r="A15" s="16" t="s">
        <v>23</v>
      </c>
      <c r="B15" s="17">
        <v>0</v>
      </c>
      <c r="C15" s="16" t="s">
        <v>113</v>
      </c>
      <c r="D15" s="16" t="s">
        <v>113</v>
      </c>
      <c r="E15" s="16" t="s">
        <v>114</v>
      </c>
      <c r="F15" s="16" t="s">
        <v>117</v>
      </c>
    </row>
  </sheetData>
  <mergeCells count="3">
    <mergeCell ref="A1:F1"/>
    <mergeCell ref="A2:F2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zoomScaleNormal="100" workbookViewId="0">
      <pane ySplit="1" topLeftCell="A2" activePane="bottomLeft" state="frozen"/>
      <selection pane="bottomLeft" sqref="A1:I1"/>
    </sheetView>
  </sheetViews>
  <sheetFormatPr defaultColWidth="8.6328125" defaultRowHeight="14.5" x14ac:dyDescent="0.35"/>
  <cols>
    <col min="1" max="1" width="10.1796875" customWidth="1"/>
    <col min="2" max="3" width="70" customWidth="1"/>
  </cols>
  <sheetData>
    <row r="1" spans="1:3" s="7" customFormat="1" ht="30" customHeight="1" thickBot="1" x14ac:dyDescent="0.5">
      <c r="A1" s="44" t="s">
        <v>118</v>
      </c>
      <c r="B1" s="44"/>
      <c r="C1" s="44"/>
    </row>
    <row r="2" spans="1:3" ht="15.5" thickTop="1" thickBot="1" x14ac:dyDescent="0.4">
      <c r="A2" s="45" t="s">
        <v>119</v>
      </c>
      <c r="B2" s="45"/>
      <c r="C2" s="45"/>
    </row>
    <row r="3" spans="1:3" ht="19.5" customHeight="1" thickTop="1" x14ac:dyDescent="0.35">
      <c r="A3" s="1"/>
      <c r="B3" s="1"/>
      <c r="C3" s="1"/>
    </row>
    <row r="4" spans="1:3" ht="15" thickBot="1" x14ac:dyDescent="0.4">
      <c r="A4" s="47" t="s">
        <v>120</v>
      </c>
      <c r="B4" s="47" t="s">
        <v>121</v>
      </c>
      <c r="C4" s="47" t="s">
        <v>63</v>
      </c>
    </row>
    <row r="5" spans="1:3" ht="60" customHeight="1" thickTop="1" x14ac:dyDescent="0.35">
      <c r="A5" s="51">
        <v>1</v>
      </c>
      <c r="B5" s="53" t="s">
        <v>122</v>
      </c>
      <c r="C5" s="52" t="s">
        <v>123</v>
      </c>
    </row>
    <row r="6" spans="1:3" ht="60" customHeight="1" x14ac:dyDescent="0.35">
      <c r="A6" s="26">
        <v>2</v>
      </c>
      <c r="B6" s="54" t="s">
        <v>124</v>
      </c>
      <c r="C6" s="28" t="s">
        <v>125</v>
      </c>
    </row>
    <row r="7" spans="1:3" ht="60" customHeight="1" x14ac:dyDescent="0.35">
      <c r="A7" s="26">
        <v>3</v>
      </c>
      <c r="B7" s="55" t="s">
        <v>126</v>
      </c>
      <c r="C7" s="27" t="s">
        <v>127</v>
      </c>
    </row>
    <row r="8" spans="1:3" ht="60" customHeight="1" x14ac:dyDescent="0.35">
      <c r="A8" s="26">
        <v>4</v>
      </c>
      <c r="B8" s="54" t="s">
        <v>128</v>
      </c>
      <c r="C8" s="28" t="s">
        <v>129</v>
      </c>
    </row>
    <row r="9" spans="1:3" ht="60" customHeight="1" x14ac:dyDescent="0.35">
      <c r="A9" s="26">
        <v>5</v>
      </c>
      <c r="B9" s="55" t="s">
        <v>130</v>
      </c>
      <c r="C9" s="27" t="s">
        <v>131</v>
      </c>
    </row>
    <row r="10" spans="1:3" ht="60" customHeight="1" x14ac:dyDescent="0.35">
      <c r="A10" s="26">
        <v>6</v>
      </c>
      <c r="B10" s="54" t="s">
        <v>132</v>
      </c>
      <c r="C10" s="28" t="s">
        <v>133</v>
      </c>
    </row>
    <row r="11" spans="1:3" ht="60" customHeight="1" x14ac:dyDescent="0.35">
      <c r="A11" s="26">
        <v>7</v>
      </c>
      <c r="B11" s="55" t="s">
        <v>134</v>
      </c>
      <c r="C11" s="27" t="s">
        <v>135</v>
      </c>
    </row>
    <row r="12" spans="1:3" ht="60" customHeight="1" x14ac:dyDescent="0.35">
      <c r="A12" s="26">
        <v>8</v>
      </c>
      <c r="B12" s="54" t="s">
        <v>136</v>
      </c>
      <c r="C12" s="28" t="s">
        <v>137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 Overview</vt:lpstr>
      <vt:lpstr>Descriptive Statistics</vt:lpstr>
      <vt:lpstr>Categorical Analysis</vt:lpstr>
      <vt:lpstr>Outlier Analysis</vt:lpstr>
      <vt:lpstr>Key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Courage Cobbinah</dc:creator>
  <dc:description/>
  <cp:lastModifiedBy>Courage Cobbinah</cp:lastModifiedBy>
  <cp:revision>0</cp:revision>
  <dcterms:created xsi:type="dcterms:W3CDTF">2026-06-24T19:27:25Z</dcterms:created>
  <dcterms:modified xsi:type="dcterms:W3CDTF">2026-06-25T22:07:59Z</dcterms:modified>
  <dc:language>en-US</dc:language>
</cp:coreProperties>
</file>